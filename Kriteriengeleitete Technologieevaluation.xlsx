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showInkAnnotation="0"/>
  <xr:revisionPtr revIDLastSave="2" documentId="8_{5666E07C-5A4C-CB42-98E5-8FB333BABC7D}" xr6:coauthVersionLast="47" xr6:coauthVersionMax="47" xr10:uidLastSave="{99E733AA-AC29-411C-B3ED-20AD730A6A63}"/>
  <bookViews>
    <workbookView xWindow="0" yWindow="0" windowWidth="0" windowHeight="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10" i="1"/>
  <c r="N11" i="1"/>
  <c r="N9" i="1"/>
  <c r="N4" i="1"/>
  <c r="N5" i="1"/>
  <c r="N6" i="1"/>
  <c r="N8" i="1"/>
  <c r="N12" i="1"/>
  <c r="N13" i="1"/>
  <c r="N3" i="1"/>
  <c r="N2" i="1"/>
  <c r="N14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2" i="1"/>
  <c r="P2" i="1"/>
  <c r="P14" i="1"/>
  <c r="O14" i="1"/>
</calcChain>
</file>

<file path=xl/sharedStrings.xml><?xml version="1.0" encoding="utf-8"?>
<sst xmlns="http://schemas.openxmlformats.org/spreadsheetml/2006/main" count="43" uniqueCount="30">
  <si>
    <t>Kriterien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</si>
  <si>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</si>
  <si>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</si>
  <si>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</si>
  <si>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</si>
  <si>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</si>
  <si>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</si>
  <si>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</si>
  <si>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</si>
  <si>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</si>
  <si>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</si>
  <si>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</si>
  <si>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</si>
  <si>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Summe</t>
  </si>
  <si>
    <t>Faktor</t>
  </si>
  <si>
    <t>Prozent</t>
  </si>
  <si>
    <t>1. Responsive Design</t>
  </si>
  <si>
    <t>2. Vorkenntnisse</t>
  </si>
  <si>
    <t>3. Erlernbarkeit</t>
  </si>
  <si>
    <t>4. Dokumentation</t>
  </si>
  <si>
    <t>5. Platformunabhängigkeit</t>
  </si>
  <si>
    <t>6. Robustheit</t>
  </si>
  <si>
    <t>7. ORM-Mapping</t>
  </si>
  <si>
    <t>8. MQTT</t>
  </si>
  <si>
    <t>9. Sicherheit</t>
  </si>
  <si>
    <t>10. Verfügbarkeit</t>
  </si>
  <si>
    <t>11. Skalierbarkeit</t>
  </si>
  <si>
    <t>12. Erweiterbarkeit</t>
  </si>
  <si>
    <t>Kriterium</t>
  </si>
  <si>
    <t>Wichtigkeit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</si>
</sst>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505050"/>
      </left>
      <right style="medium">
        <color rgb="FF505050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0" fontId="1" fillId="0" borderId="3" xfId="0" applyNumberFormat="1" applyFont="1" applyBorder="1"/>
    <xf numFmtId="10" fontId="0" fillId="3" borderId="10" xfId="0" applyNumberFormat="1" applyFill="1" applyBorder="1"/>
    <xf numFmtId="10" fontId="0" fillId="0" borderId="10" xfId="0" applyNumberFormat="1" applyBorder="1"/>
    <xf numFmtId="0" fontId="0" fillId="3" borderId="9" xfId="0" applyFill="1" applyBorder="1"/>
    <xf numFmtId="0" fontId="0" fillId="0" borderId="9" xfId="0" applyBorder="1"/>
    <xf numFmtId="0" fontId="0" fillId="0" borderId="12" xfId="0" applyBorder="1"/>
    <xf numFmtId="10" fontId="0" fillId="0" borderId="11" xfId="0" applyNumberFormat="1" applyBorder="1"/>
  </cellXfs>
  <cellStyles count="1">
    <cellStyle name="Standard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rgb="FF505050"/>
        </left>
        <right style="medium">
          <color rgb="FF50505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14" formatCode="0.00%"/>
    </dxf>
    <dxf>
      <border diagonalUp="0" diagonalDown="0">
        <left style="medium">
          <color rgb="FF505050"/>
        </left>
        <right style="medium">
          <color rgb="FF505050"/>
        </right>
        <top/>
        <bottom/>
        <vertical/>
        <horizontal/>
      </border>
    </dxf>
    <dxf>
      <border outline="0">
        <bottom style="medium">
          <color rgb="FF505050"/>
        </bottom>
      </border>
    </dxf>
    <dxf>
      <border outline="0">
        <top style="medium">
          <color rgb="FF50505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1E21A-B48B-F040-AC33-01F5330EBF82}" name="Tabelle1" displayName="Tabelle1" ref="A1:P14" totalsRowShown="0" headerRowDxfId="7" headerRowBorderDxfId="5" tableBorderDxfId="6">
  <autoFilter ref="A1:P14" xr:uid="{E1C1E21A-B48B-F040-AC33-01F5330EBF82}"/>
  <tableColumns count="16">
    <tableColumn id="1" xr3:uid="{030370B5-3EB5-D34C-B3DB-E66111A05848}" name="Kriterien" dataDxfId="4"/>
    <tableColumn id="2" xr3:uid="{0763038D-CB29-304C-8BAE-CC8AEB440128}" name="1"/>
    <tableColumn id="3" xr3:uid="{E0D6C212-5B09-C441-8B60-9DBCFFB478BE}" name="2"/>
    <tableColumn id="4" xr3:uid="{F58C0797-329E-5448-80CD-C5196929C84B}" name="3"/>
    <tableColumn id="5" xr3:uid="{0B4453DF-1A61-0B49-B342-191F3129A855}" name="4"/>
    <tableColumn id="6" xr3:uid="{6FF26066-6A1E-364E-9190-C1DBD5A09A92}" name="5"/>
    <tableColumn id="7" xr3:uid="{653873CC-2291-FB45-857E-BACC05DCB3CA}" name="6"/>
    <tableColumn id="8" xr3:uid="{BE77A240-00E1-B048-A6F9-3B305E41CD09}" name="7"/>
    <tableColumn id="9" xr3:uid="{6B094571-E00C-8144-B3D9-A00CAD5C0347}" name="8"/>
    <tableColumn id="10" xr3:uid="{D9DFD7F6-FAB8-C64A-8BB3-204C37311C0E}" name="9"/>
    <tableColumn id="11" xr3:uid="{5BCB3C39-3674-734A-98C4-74CC7D0EBC95}" name="10"/>
    <tableColumn id="12" xr3:uid="{5ABA0A8D-15F4-4849-A770-2126C786967D}" name="11"/>
    <tableColumn id="13" xr3:uid="{5865CDA6-4807-9940-A15E-11B921553147}" name="12"/>
    <tableColumn id="14" xr3:uid="{E0C3BFD9-D9D8-A545-9350-F7E5D4F7C84F}" name="Summe"/>
    <tableColumn id="15" xr3:uid="{FEF5C7C5-C90E-D047-8F7D-BF91DEB4E417}" name="Faktor"/>
    <tableColumn id="16" xr3:uid="{5BE17459-DE75-FA4C-8D67-D7536F70BBEC}" name="Prozen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E8B84D-F17C-6B46-94D6-5E52484E883C}" name="Tabelle3" displayName="Tabelle3" ref="A17:B29" totalsRowShown="0" tableBorderDxfId="2">
  <autoFilter ref="A17:B29" xr:uid="{04E8B84D-F17C-6B46-94D6-5E52484E883C}"/>
  <sortState xmlns:xlrd2="http://schemas.microsoft.com/office/spreadsheetml/2017/richdata2" ref="A18:B29">
    <sortCondition descending="1" ref="B17:B29"/>
  </sortState>
  <tableColumns count="2">
    <tableColumn id="1" xr3:uid="{E9E85F85-B063-BC4F-8988-7537780A603B}" name="Kriterium" dataDxfId="1"/>
    <tableColumn id="2" xr3:uid="{578D5AE2-3B4E-0C49-B809-62BE0DDAF663}" name="Wichtigke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15CC-4F6B-2D4C-9579-56F1BDA44413}">
  <dimension ref="A1:P29"/>
  <sheetViews>
    <sheetView tabSelected="1" zoomScaleNormal="80" zoomScaleSheetLayoutView="100" workbookViewId="0">
      <selection activeCell="F19" sqref="F19"/>
    </sheetView>
  </sheetViews>
  <sheetFormatPr defaultRowHeight="15"/>
  <cols>
    <col min="1" max="1" width="22" bestFit="1" customWidth="1"/>
    <col min="2" max="2" width="12.85546875" bestFit="1" customWidth="1"/>
    <col min="14" max="14" width="9.7109375" bestFit="1" customWidth="1"/>
    <col min="15" max="15" width="11.5703125" bestFit="1" customWidth="1"/>
    <col min="16" max="16" width="10.42578125" bestFit="1" customWidth="1"/>
  </cols>
  <sheetData>
    <row r="1" spans="1:16" ht="15.7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</row>
    <row r="2" spans="1:16">
      <c r="A2" s="7" t="s">
        <v>16</v>
      </c>
      <c r="B2" s="3"/>
      <c r="C2">
        <v>2</v>
      </c>
      <c r="D2">
        <v>2</v>
      </c>
      <c r="E2">
        <v>2</v>
      </c>
      <c r="F2">
        <v>2</v>
      </c>
      <c r="G2">
        <v>2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f>SUM(B2:M2)</f>
        <v>20</v>
      </c>
      <c r="O2" s="2">
        <f>(N2/N14)</f>
        <v>0.15151515151515152</v>
      </c>
      <c r="P2" s="1">
        <f>O2</f>
        <v>0.15151515151515152</v>
      </c>
    </row>
    <row r="3" spans="1:16">
      <c r="A3" s="7" t="s">
        <v>17</v>
      </c>
      <c r="B3">
        <v>0</v>
      </c>
      <c r="C3" s="3"/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>SUM(B3:M3)</f>
        <v>1</v>
      </c>
      <c r="O3" s="2">
        <f>(N3/N14)</f>
        <v>7.575757575757576E-3</v>
      </c>
      <c r="P3" s="1">
        <f>O3</f>
        <v>7.575757575757576E-3</v>
      </c>
    </row>
    <row r="4" spans="1:16">
      <c r="A4" s="7" t="s">
        <v>18</v>
      </c>
      <c r="B4">
        <v>0</v>
      </c>
      <c r="C4">
        <v>2</v>
      </c>
      <c r="D4" s="3"/>
      <c r="E4">
        <v>2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2</v>
      </c>
      <c r="N4">
        <f>SUM(B4:M4)</f>
        <v>9</v>
      </c>
      <c r="O4" s="2">
        <f>(N4/N14)</f>
        <v>6.8181818181818177E-2</v>
      </c>
      <c r="P4" s="1">
        <f>O4</f>
        <v>6.8181818181818177E-2</v>
      </c>
    </row>
    <row r="5" spans="1:16">
      <c r="A5" s="7" t="s">
        <v>19</v>
      </c>
      <c r="B5">
        <v>0</v>
      </c>
      <c r="C5">
        <v>1</v>
      </c>
      <c r="D5">
        <v>0</v>
      </c>
      <c r="E5" s="3"/>
      <c r="F5">
        <v>1</v>
      </c>
      <c r="G5">
        <v>2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  <c r="N5">
        <f>SUM(B5:M5)</f>
        <v>10</v>
      </c>
      <c r="O5" s="2">
        <f>(N5/N14)</f>
        <v>7.575757575757576E-2</v>
      </c>
      <c r="P5" s="1">
        <f>O5</f>
        <v>7.575757575757576E-2</v>
      </c>
    </row>
    <row r="6" spans="1:16">
      <c r="A6" s="7" t="s">
        <v>20</v>
      </c>
      <c r="B6">
        <v>0</v>
      </c>
      <c r="C6">
        <v>2</v>
      </c>
      <c r="D6">
        <v>0</v>
      </c>
      <c r="E6">
        <v>1</v>
      </c>
      <c r="F6" s="3"/>
      <c r="G6">
        <v>0</v>
      </c>
      <c r="H6">
        <v>0</v>
      </c>
      <c r="I6">
        <v>0</v>
      </c>
      <c r="J6">
        <v>2</v>
      </c>
      <c r="K6">
        <v>0</v>
      </c>
      <c r="L6">
        <v>2</v>
      </c>
      <c r="M6">
        <v>2</v>
      </c>
      <c r="N6">
        <f>SUM(B6:M6)</f>
        <v>9</v>
      </c>
      <c r="O6" s="2">
        <f>(N6/N14)</f>
        <v>6.8181818181818177E-2</v>
      </c>
      <c r="P6" s="1">
        <f>O6</f>
        <v>6.8181818181818177E-2</v>
      </c>
    </row>
    <row r="7" spans="1:16">
      <c r="A7" s="7" t="s">
        <v>21</v>
      </c>
      <c r="B7">
        <v>0</v>
      </c>
      <c r="C7">
        <v>2</v>
      </c>
      <c r="D7">
        <v>2</v>
      </c>
      <c r="E7">
        <v>0</v>
      </c>
      <c r="F7">
        <v>2</v>
      </c>
      <c r="G7" s="3"/>
      <c r="H7">
        <v>0</v>
      </c>
      <c r="I7">
        <v>0</v>
      </c>
      <c r="J7">
        <v>2</v>
      </c>
      <c r="K7">
        <v>2</v>
      </c>
      <c r="L7">
        <v>2</v>
      </c>
      <c r="M7">
        <v>2</v>
      </c>
      <c r="N7">
        <f>SUM(Tabelle1[[#This Row],[1]:[12]])</f>
        <v>14</v>
      </c>
      <c r="O7" s="2">
        <f>(N7/N14)</f>
        <v>0.10606060606060606</v>
      </c>
      <c r="P7" s="1">
        <f>O7</f>
        <v>0.10606060606060606</v>
      </c>
    </row>
    <row r="8" spans="1:16">
      <c r="A8" s="7" t="s">
        <v>22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  <c r="H8" s="3"/>
      <c r="I8">
        <v>1</v>
      </c>
      <c r="J8">
        <v>2</v>
      </c>
      <c r="K8">
        <v>2</v>
      </c>
      <c r="L8">
        <v>2</v>
      </c>
      <c r="M8">
        <v>2</v>
      </c>
      <c r="N8">
        <f>SUM(B8:M8)</f>
        <v>20</v>
      </c>
      <c r="O8" s="2">
        <f>(N8/N14)</f>
        <v>0.15151515151515152</v>
      </c>
      <c r="P8" s="1">
        <f>O8</f>
        <v>0.15151515151515152</v>
      </c>
    </row>
    <row r="9" spans="1:16">
      <c r="A9" s="7" t="s">
        <v>23</v>
      </c>
      <c r="B9">
        <v>1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 s="3"/>
      <c r="J9">
        <v>2</v>
      </c>
      <c r="K9">
        <v>2</v>
      </c>
      <c r="L9">
        <v>2</v>
      </c>
      <c r="M9">
        <v>2</v>
      </c>
      <c r="N9">
        <f>SUM(Tabelle1[[#This Row],[1]:[12]])</f>
        <v>20</v>
      </c>
      <c r="O9" s="2">
        <f>(N9/N14)</f>
        <v>0.15151515151515152</v>
      </c>
      <c r="P9" s="1">
        <f>O9</f>
        <v>0.15151515151515152</v>
      </c>
    </row>
    <row r="10" spans="1:16">
      <c r="A10" s="7" t="s">
        <v>24</v>
      </c>
      <c r="B10">
        <v>0</v>
      </c>
      <c r="C10">
        <v>2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 s="3"/>
      <c r="K10">
        <v>0</v>
      </c>
      <c r="L10">
        <v>1</v>
      </c>
      <c r="M10">
        <v>1</v>
      </c>
      <c r="N10">
        <f>SUM(Tabelle1[[#This Row],[1]:[12]])</f>
        <v>7</v>
      </c>
      <c r="O10" s="2">
        <f>(N10/N14)</f>
        <v>5.3030303030303032E-2</v>
      </c>
      <c r="P10" s="1">
        <f>O10</f>
        <v>5.3030303030303032E-2</v>
      </c>
    </row>
    <row r="11" spans="1:16">
      <c r="A11" s="7" t="s">
        <v>25</v>
      </c>
      <c r="B11">
        <v>0</v>
      </c>
      <c r="C11">
        <v>2</v>
      </c>
      <c r="D11">
        <v>2</v>
      </c>
      <c r="E11">
        <v>1</v>
      </c>
      <c r="F11">
        <v>2</v>
      </c>
      <c r="G11">
        <v>0</v>
      </c>
      <c r="H11">
        <v>0</v>
      </c>
      <c r="I11">
        <v>0</v>
      </c>
      <c r="J11">
        <v>2</v>
      </c>
      <c r="K11" s="3"/>
      <c r="L11">
        <v>2</v>
      </c>
      <c r="M11">
        <v>2</v>
      </c>
      <c r="N11">
        <f>SUM(B11:M11)</f>
        <v>13</v>
      </c>
      <c r="O11" s="2">
        <f>(N11/N14)</f>
        <v>9.8484848484848481E-2</v>
      </c>
      <c r="P11" s="1">
        <f>O11</f>
        <v>9.8484848484848481E-2</v>
      </c>
    </row>
    <row r="12" spans="1:16">
      <c r="A12" s="7" t="s">
        <v>26</v>
      </c>
      <c r="B12">
        <v>0</v>
      </c>
      <c r="C12">
        <v>2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 s="3"/>
      <c r="M12">
        <v>1</v>
      </c>
      <c r="N12">
        <f>SUM(B12:M12)</f>
        <v>5</v>
      </c>
      <c r="O12" s="2">
        <f>(N12/N14)</f>
        <v>3.787878787878788E-2</v>
      </c>
      <c r="P12" s="1">
        <f>O12</f>
        <v>3.787878787878788E-2</v>
      </c>
    </row>
    <row r="13" spans="1:16" ht="15.75" thickBot="1">
      <c r="A13" s="7" t="s">
        <v>27</v>
      </c>
      <c r="B13">
        <v>0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 s="3"/>
      <c r="N13">
        <f>SUM(B13:M13)</f>
        <v>4</v>
      </c>
      <c r="O13" s="2">
        <f>(N13/N14)</f>
        <v>3.0303030303030304E-2</v>
      </c>
      <c r="P13" s="1">
        <f>O13</f>
        <v>3.0303030303030304E-2</v>
      </c>
    </row>
    <row r="14" spans="1:16" ht="15.75" thickBot="1">
      <c r="A14" s="6" t="s">
        <v>13</v>
      </c>
      <c r="N14" s="4">
        <f>SUM(N2:N13)</f>
        <v>132</v>
      </c>
      <c r="O14" s="5">
        <f>SUM(O2:O13)</f>
        <v>0.99999999999999989</v>
      </c>
      <c r="P14" s="11">
        <f>SUM(P2:P13)</f>
        <v>0.99999999999999989</v>
      </c>
    </row>
    <row r="17" spans="1:2">
      <c r="A17" t="s">
        <v>28</v>
      </c>
      <c r="B17" t="s">
        <v>29</v>
      </c>
    </row>
    <row r="18" spans="1:2">
      <c r="A18" s="14" t="s">
        <v>16</v>
      </c>
      <c r="B18" s="12">
        <v>0.1527</v>
      </c>
    </row>
    <row r="19" spans="1:2">
      <c r="A19" s="14" t="s">
        <v>22</v>
      </c>
      <c r="B19" s="12">
        <v>0.1527</v>
      </c>
    </row>
    <row r="20" spans="1:2">
      <c r="A20" s="15" t="s">
        <v>23</v>
      </c>
      <c r="B20" s="13">
        <v>0.1527</v>
      </c>
    </row>
    <row r="21" spans="1:2">
      <c r="A21" s="14" t="s">
        <v>24</v>
      </c>
      <c r="B21" s="12">
        <v>9.9199999999999997E-2</v>
      </c>
    </row>
    <row r="22" spans="1:2">
      <c r="A22" s="15" t="s">
        <v>25</v>
      </c>
      <c r="B22" s="13">
        <v>9.9199999999999997E-2</v>
      </c>
    </row>
    <row r="23" spans="1:2">
      <c r="A23" s="15" t="s">
        <v>21</v>
      </c>
      <c r="B23" s="13">
        <v>8.8900000000000007E-2</v>
      </c>
    </row>
    <row r="24" spans="1:2">
      <c r="A24" s="15" t="s">
        <v>19</v>
      </c>
      <c r="B24" s="13">
        <v>7.4099999999999999E-2</v>
      </c>
    </row>
    <row r="25" spans="1:2">
      <c r="A25" s="14" t="s">
        <v>18</v>
      </c>
      <c r="B25" s="12">
        <v>6.6699999999999995E-2</v>
      </c>
    </row>
    <row r="26" spans="1:2">
      <c r="A26" s="14" t="s">
        <v>20</v>
      </c>
      <c r="B26" s="12">
        <v>6.6699999999999995E-2</v>
      </c>
    </row>
    <row r="27" spans="1:2">
      <c r="A27" s="14" t="s">
        <v>26</v>
      </c>
      <c r="B27" s="12">
        <v>6.6699999999999995E-2</v>
      </c>
    </row>
    <row r="28" spans="1:2">
      <c r="A28" s="15" t="s">
        <v>27</v>
      </c>
      <c r="B28" s="13">
        <v>3.0499999999999999E-2</v>
      </c>
    </row>
    <row r="29" spans="1:2">
      <c r="A29" s="16" t="s">
        <v>17</v>
      </c>
      <c r="B29" s="17">
        <v>7.6E-3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Till-Philipp Patron</dc:creator>
  <cp:keywords/>
  <dc:description/>
  <cp:lastModifiedBy>Till-Philipp Patron</cp:lastModifiedBy>
  <cp:revision/>
  <dcterms:created xsi:type="dcterms:W3CDTF">2025-04-01T10:50:06Z</dcterms:created>
  <dcterms:modified xsi:type="dcterms:W3CDTF">2025-04-10T10:16:58Z</dcterms:modified>
  <cp:category/>
  <cp:contentStatus/>
</cp:coreProperties>
</file>
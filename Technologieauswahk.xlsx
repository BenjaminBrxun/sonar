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showInkAnnotation="0"/>
  <mc:AlternateContent xmlns:mc="http://schemas.openxmlformats.org/markup-compatibility/2006">
    <mc:Choice Requires="x15">
      <x15ac:absPath xmlns:x15ac="http://schemas.microsoft.com/office/spreadsheetml/2010/11/ac" url="/Users/justpna/Library/Mobile Documents/com~apple~CloudDocs/Cloud/FH Dortmund/S4/SWT2/sonar/"/>
    </mc:Choice>
  </mc:AlternateContent>
  <xr:revisionPtr revIDLastSave="0" documentId="13_ncr:1_{F9CA96E9-152A-204F-99DE-64397AFB60BA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D32" i="1"/>
  <c r="D20" i="1"/>
  <c r="L43" i="1"/>
  <c r="J43" i="1"/>
  <c r="H43" i="1"/>
  <c r="F43" i="1"/>
  <c r="L42" i="1"/>
  <c r="J42" i="1"/>
  <c r="H42" i="1"/>
  <c r="F42" i="1"/>
  <c r="L41" i="1"/>
  <c r="J41" i="1"/>
  <c r="H41" i="1"/>
  <c r="F41" i="1"/>
  <c r="L40" i="1"/>
  <c r="J40" i="1"/>
  <c r="H40" i="1"/>
  <c r="F40" i="1"/>
  <c r="L39" i="1"/>
  <c r="L44" i="1" s="1"/>
  <c r="J39" i="1"/>
  <c r="J44" i="1" s="1"/>
  <c r="H39" i="1"/>
  <c r="H44" i="1" s="1"/>
  <c r="F39" i="1"/>
  <c r="F44" i="1" s="1"/>
  <c r="AE33" i="1"/>
  <c r="AE32" i="1"/>
  <c r="AE31" i="1"/>
  <c r="AE30" i="1"/>
  <c r="AE29" i="1"/>
  <c r="AE28" i="1"/>
  <c r="AE27" i="1"/>
  <c r="AE26" i="1"/>
  <c r="AE25" i="1"/>
  <c r="AE24" i="1"/>
  <c r="AE23" i="1"/>
  <c r="AE22" i="1"/>
  <c r="L27" i="1"/>
  <c r="L28" i="1"/>
  <c r="L29" i="1"/>
  <c r="L30" i="1"/>
  <c r="L31" i="1"/>
  <c r="L26" i="1"/>
  <c r="L32" i="1" s="1"/>
  <c r="J27" i="1"/>
  <c r="J28" i="1"/>
  <c r="J29" i="1"/>
  <c r="J30" i="1"/>
  <c r="J31" i="1"/>
  <c r="J26" i="1"/>
  <c r="J32" i="1" s="1"/>
  <c r="H30" i="1"/>
  <c r="H27" i="1"/>
  <c r="H28" i="1"/>
  <c r="H29" i="1"/>
  <c r="H31" i="1"/>
  <c r="H26" i="1"/>
  <c r="H32" i="1" s="1"/>
  <c r="F27" i="1"/>
  <c r="F28" i="1"/>
  <c r="F29" i="1"/>
  <c r="F30" i="1"/>
  <c r="F31" i="1"/>
  <c r="F26" i="1"/>
  <c r="F32" i="1" s="1"/>
  <c r="L13" i="1"/>
  <c r="L14" i="1"/>
  <c r="L15" i="1"/>
  <c r="L16" i="1"/>
  <c r="L17" i="1"/>
  <c r="L18" i="1"/>
  <c r="L19" i="1"/>
  <c r="L12" i="1"/>
  <c r="L20" i="1"/>
  <c r="J12" i="1"/>
  <c r="J13" i="1"/>
  <c r="J14" i="1"/>
  <c r="J15" i="1"/>
  <c r="J16" i="1"/>
  <c r="J17" i="1"/>
  <c r="J18" i="1"/>
  <c r="J19" i="1"/>
  <c r="J20" i="1"/>
  <c r="H12" i="1"/>
  <c r="H13" i="1"/>
  <c r="H14" i="1"/>
  <c r="H15" i="1"/>
  <c r="H16" i="1"/>
  <c r="H17" i="1"/>
  <c r="H18" i="1"/>
  <c r="H19" i="1"/>
  <c r="H20" i="1"/>
  <c r="F12" i="1"/>
  <c r="F13" i="1"/>
  <c r="F14" i="1"/>
  <c r="F15" i="1"/>
  <c r="F16" i="1"/>
  <c r="F17" i="1"/>
  <c r="F18" i="1"/>
  <c r="F19" i="1"/>
  <c r="F20" i="1"/>
  <c r="AE34" i="1" l="1"/>
  <c r="AF22" i="1"/>
  <c r="AF23" i="1"/>
  <c r="AG23" i="1" s="1"/>
  <c r="AF24" i="1"/>
  <c r="AG24" i="1" s="1"/>
  <c r="AF25" i="1"/>
  <c r="AG25" i="1" s="1"/>
  <c r="AF26" i="1"/>
  <c r="AG26" i="1" s="1"/>
  <c r="AF27" i="1"/>
  <c r="AG27" i="1" s="1"/>
  <c r="AF28" i="1"/>
  <c r="AG28" i="1" s="1"/>
  <c r="AF29" i="1"/>
  <c r="AG29" i="1" s="1"/>
  <c r="AF30" i="1"/>
  <c r="AG30" i="1" s="1"/>
  <c r="AF31" i="1"/>
  <c r="AG31" i="1" s="1"/>
  <c r="AF32" i="1"/>
  <c r="AG32" i="1" s="1"/>
  <c r="AF33" i="1"/>
  <c r="AG33" i="1" s="1"/>
  <c r="AF34" i="1" l="1"/>
  <c r="AG22" i="1"/>
  <c r="AG34" i="1" s="1"/>
</calcChain>
</file>

<file path=xl/sharedStrings.xml><?xml version="1.0" encoding="utf-8"?>
<sst xmlns="http://schemas.openxmlformats.org/spreadsheetml/2006/main" count="87" uniqueCount="45">
  <si>
    <t>Bewertungsskala</t>
  </si>
  <si>
    <t>Wert</t>
  </si>
  <si>
    <t>Beschreibung</t>
  </si>
  <si>
    <t>Ungenüngend, nicht unterstützt</t>
  </si>
  <si>
    <t>Ausreichend</t>
  </si>
  <si>
    <t>Gut</t>
  </si>
  <si>
    <t>Sehr gut, voll unterstützt</t>
  </si>
  <si>
    <t>Entwicklungswerkzeuge Backend</t>
  </si>
  <si>
    <t>NodeJS</t>
  </si>
  <si>
    <t>FastAPI</t>
  </si>
  <si>
    <t>.NET</t>
  </si>
  <si>
    <t>Kriterien</t>
  </si>
  <si>
    <t>Faktor</t>
  </si>
  <si>
    <t>Bewertung</t>
  </si>
  <si>
    <t>Nutzwert</t>
  </si>
  <si>
    <t>Nutzerwert</t>
  </si>
  <si>
    <t>2. Vorkenntnisse</t>
  </si>
  <si>
    <t>3. Erlernbarkeit</t>
  </si>
  <si>
    <t>4. Dokumentation</t>
  </si>
  <si>
    <t>6. Robustheit</t>
  </si>
  <si>
    <t>7. ORM-Mapping</t>
  </si>
  <si>
    <t>8. MQTT</t>
  </si>
  <si>
    <t>9. Sicherheit</t>
  </si>
  <si>
    <t>10. Verfügbarkeit</t>
  </si>
  <si>
    <t>Summe</t>
  </si>
  <si>
    <t>1. Responsive Design</t>
  </si>
  <si>
    <t>Entwicklungswerkzeuge Frontend</t>
  </si>
  <si>
    <t>React</t>
  </si>
  <si>
    <t>Angular</t>
  </si>
  <si>
    <t>VueJS</t>
  </si>
  <si>
    <t>Vaadin</t>
  </si>
  <si>
    <t>5. Platformunabhängigkeit</t>
  </si>
  <si>
    <t>11. Skalierbarkeit</t>
  </si>
  <si>
    <t>12. Erweiterbarkeit</t>
  </si>
  <si>
    <t>Entwicklungswerkzeuge Datenbank</t>
  </si>
  <si>
    <t>PostgreSQL</t>
  </si>
  <si>
    <t>Oracle</t>
  </si>
  <si>
    <t>MariaDB</t>
  </si>
  <si>
    <t>MySQL</t>
  </si>
  <si>
    <t>1. ORM-Mapping</t>
  </si>
  <si>
    <t>2. Skalierbarkeit</t>
  </si>
  <si>
    <t>3. Erweiterbarkeit</t>
  </si>
  <si>
    <t>4. Verfügbarkeit</t>
  </si>
  <si>
    <t>5. Sicherheit</t>
  </si>
  <si>
    <t>Springboot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</si>
</sst>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4" xfId="0" applyFont="1" applyBorder="1"/>
    <xf numFmtId="0" fontId="1" fillId="3" borderId="9" xfId="0" applyFont="1" applyFill="1" applyBorder="1"/>
    <xf numFmtId="0" fontId="0" fillId="4" borderId="10" xfId="0" applyFill="1" applyBorder="1"/>
    <xf numFmtId="0" fontId="0" fillId="5" borderId="11" xfId="0" applyFill="1" applyBorder="1"/>
    <xf numFmtId="0" fontId="0" fillId="4" borderId="11" xfId="0" applyFill="1" applyBorder="1"/>
    <xf numFmtId="164" fontId="0" fillId="4" borderId="11" xfId="0" applyNumberFormat="1" applyFill="1" applyBorder="1"/>
    <xf numFmtId="10" fontId="0" fillId="4" borderId="12" xfId="0" applyNumberFormat="1" applyFill="1" applyBorder="1"/>
    <xf numFmtId="0" fontId="0" fillId="0" borderId="10" xfId="0" applyBorder="1"/>
    <xf numFmtId="0" fontId="0" fillId="0" borderId="11" xfId="0" applyBorder="1"/>
    <xf numFmtId="164" fontId="0" fillId="0" borderId="11" xfId="0" applyNumberFormat="1" applyBorder="1"/>
    <xf numFmtId="10" fontId="0" fillId="0" borderId="12" xfId="0" applyNumberFormat="1" applyBorder="1"/>
    <xf numFmtId="0" fontId="1" fillId="4" borderId="2" xfId="0" applyFont="1" applyFill="1" applyBorder="1"/>
    <xf numFmtId="0" fontId="1" fillId="4" borderId="13" xfId="0" applyFont="1" applyFill="1" applyBorder="1"/>
    <xf numFmtId="0" fontId="1" fillId="4" borderId="3" xfId="0" applyFont="1" applyFill="1" applyBorder="1"/>
    <xf numFmtId="10" fontId="1" fillId="4" borderId="14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1D49-1822-B34A-AE6E-85391E6FD248}">
  <dimension ref="A1:AG44"/>
  <sheetViews>
    <sheetView tabSelected="1" zoomScaleNormal="80" zoomScaleSheetLayoutView="100" workbookViewId="0">
      <selection activeCell="P10" sqref="P10"/>
    </sheetView>
  </sheetViews>
  <sheetFormatPr baseColWidth="10" defaultColWidth="8.83203125" defaultRowHeight="15" x14ac:dyDescent="0.2"/>
  <cols>
    <col min="2" max="2" width="26.33203125" bestFit="1" customWidth="1"/>
    <col min="3" max="3" width="22.1640625" bestFit="1" customWidth="1"/>
    <col min="5" max="5" width="11.1640625" bestFit="1" customWidth="1"/>
  </cols>
  <sheetData>
    <row r="1" spans="1:12" x14ac:dyDescent="0.2">
      <c r="B1" s="1" t="s">
        <v>0</v>
      </c>
    </row>
    <row r="2" spans="1:12" x14ac:dyDescent="0.2">
      <c r="A2" t="s">
        <v>1</v>
      </c>
      <c r="B2" t="s">
        <v>2</v>
      </c>
    </row>
    <row r="3" spans="1:12" x14ac:dyDescent="0.2">
      <c r="A3">
        <v>1</v>
      </c>
      <c r="B3" t="s">
        <v>3</v>
      </c>
    </row>
    <row r="4" spans="1:12" x14ac:dyDescent="0.2">
      <c r="A4">
        <v>2</v>
      </c>
      <c r="B4" t="s">
        <v>4</v>
      </c>
    </row>
    <row r="5" spans="1:12" x14ac:dyDescent="0.2">
      <c r="A5">
        <v>3</v>
      </c>
      <c r="B5" t="s">
        <v>5</v>
      </c>
    </row>
    <row r="6" spans="1:12" x14ac:dyDescent="0.2">
      <c r="A6">
        <v>4</v>
      </c>
      <c r="B6" t="s">
        <v>6</v>
      </c>
    </row>
    <row r="9" spans="1:12" ht="16" thickBot="1" x14ac:dyDescent="0.25">
      <c r="E9" t="s">
        <v>7</v>
      </c>
    </row>
    <row r="10" spans="1:12" x14ac:dyDescent="0.2">
      <c r="E10" s="10" t="s">
        <v>44</v>
      </c>
      <c r="F10" s="6"/>
      <c r="G10" t="s">
        <v>8</v>
      </c>
      <c r="I10" t="s">
        <v>9</v>
      </c>
      <c r="K10" t="s">
        <v>10</v>
      </c>
    </row>
    <row r="11" spans="1:12" x14ac:dyDescent="0.2">
      <c r="C11" t="s">
        <v>11</v>
      </c>
      <c r="D11" t="s">
        <v>12</v>
      </c>
      <c r="E11" s="7" t="s">
        <v>13</v>
      </c>
      <c r="F11" s="8" t="s">
        <v>14</v>
      </c>
      <c r="G11" t="s">
        <v>13</v>
      </c>
      <c r="H11" t="s">
        <v>15</v>
      </c>
      <c r="I11" t="s">
        <v>13</v>
      </c>
      <c r="J11" t="s">
        <v>14</v>
      </c>
      <c r="K11" t="s">
        <v>13</v>
      </c>
      <c r="L11" t="s">
        <v>14</v>
      </c>
    </row>
    <row r="12" spans="1:12" ht="16" x14ac:dyDescent="0.2">
      <c r="C12" s="3" t="s">
        <v>16</v>
      </c>
      <c r="D12" s="3">
        <v>7.6E-3</v>
      </c>
      <c r="E12" s="7">
        <v>3</v>
      </c>
      <c r="F12" s="8">
        <f>D12*E12</f>
        <v>2.2800000000000001E-2</v>
      </c>
      <c r="G12">
        <v>2</v>
      </c>
      <c r="H12">
        <f>D12*G12</f>
        <v>1.52E-2</v>
      </c>
      <c r="I12">
        <v>1</v>
      </c>
      <c r="J12">
        <f>D12*I12</f>
        <v>7.6E-3</v>
      </c>
      <c r="K12">
        <v>1</v>
      </c>
      <c r="L12">
        <f>D12*K12</f>
        <v>7.6E-3</v>
      </c>
    </row>
    <row r="13" spans="1:12" ht="16" x14ac:dyDescent="0.2">
      <c r="C13" s="2" t="s">
        <v>17</v>
      </c>
      <c r="D13" s="2">
        <v>6.8199999999999997E-2</v>
      </c>
      <c r="E13" s="7">
        <v>4</v>
      </c>
      <c r="F13" s="8">
        <f>D13*E13</f>
        <v>0.27279999999999999</v>
      </c>
      <c r="G13">
        <v>3</v>
      </c>
      <c r="H13">
        <f t="shared" ref="H13:H19" si="0">D13*G13</f>
        <v>0.2046</v>
      </c>
      <c r="I13">
        <v>3</v>
      </c>
      <c r="J13">
        <f t="shared" ref="J13:J19" si="1">D13*I13</f>
        <v>0.2046</v>
      </c>
      <c r="K13">
        <v>2</v>
      </c>
      <c r="L13">
        <f t="shared" ref="L13:L19" si="2">D13*K13</f>
        <v>0.13639999999999999</v>
      </c>
    </row>
    <row r="14" spans="1:12" ht="16" x14ac:dyDescent="0.2">
      <c r="C14" s="3" t="s">
        <v>18</v>
      </c>
      <c r="D14" s="3">
        <v>7.5800000000000006E-2</v>
      </c>
      <c r="E14" s="7">
        <v>4</v>
      </c>
      <c r="F14" s="8">
        <f>D14*E14</f>
        <v>0.30320000000000003</v>
      </c>
      <c r="G14">
        <v>4</v>
      </c>
      <c r="H14">
        <f t="shared" si="0"/>
        <v>0.30320000000000003</v>
      </c>
      <c r="I14">
        <v>3</v>
      </c>
      <c r="J14">
        <f t="shared" si="1"/>
        <v>0.22740000000000002</v>
      </c>
      <c r="K14">
        <v>4</v>
      </c>
      <c r="L14">
        <f t="shared" si="2"/>
        <v>0.30320000000000003</v>
      </c>
    </row>
    <row r="15" spans="1:12" ht="16" x14ac:dyDescent="0.2">
      <c r="C15" s="3" t="s">
        <v>19</v>
      </c>
      <c r="D15" s="3">
        <v>0.1061</v>
      </c>
      <c r="E15" s="7">
        <v>3</v>
      </c>
      <c r="F15" s="8">
        <f t="shared" ref="F15:F19" si="3">D15*E15</f>
        <v>0.31830000000000003</v>
      </c>
      <c r="G15">
        <v>2</v>
      </c>
      <c r="H15">
        <f t="shared" si="0"/>
        <v>0.2122</v>
      </c>
      <c r="I15">
        <v>2</v>
      </c>
      <c r="J15">
        <f t="shared" si="1"/>
        <v>0.2122</v>
      </c>
      <c r="K15">
        <v>3</v>
      </c>
      <c r="L15">
        <f t="shared" si="2"/>
        <v>0.31830000000000003</v>
      </c>
    </row>
    <row r="16" spans="1:12" ht="16" x14ac:dyDescent="0.2">
      <c r="C16" s="2" t="s">
        <v>20</v>
      </c>
      <c r="D16" s="2">
        <v>0.1515</v>
      </c>
      <c r="E16" s="7">
        <v>4</v>
      </c>
      <c r="F16" s="8">
        <f t="shared" si="3"/>
        <v>0.60599999999999998</v>
      </c>
      <c r="G16">
        <v>4</v>
      </c>
      <c r="H16">
        <f t="shared" si="0"/>
        <v>0.60599999999999998</v>
      </c>
      <c r="I16">
        <v>4</v>
      </c>
      <c r="J16">
        <f t="shared" si="1"/>
        <v>0.60599999999999998</v>
      </c>
      <c r="K16">
        <v>4</v>
      </c>
      <c r="L16">
        <f t="shared" si="2"/>
        <v>0.60599999999999998</v>
      </c>
    </row>
    <row r="17" spans="3:33" ht="16" x14ac:dyDescent="0.2">
      <c r="C17" s="3" t="s">
        <v>21</v>
      </c>
      <c r="D17" s="3">
        <v>0.1515</v>
      </c>
      <c r="E17" s="7">
        <v>4</v>
      </c>
      <c r="F17" s="8">
        <f t="shared" si="3"/>
        <v>0.60599999999999998</v>
      </c>
      <c r="G17">
        <v>4</v>
      </c>
      <c r="H17">
        <f t="shared" si="0"/>
        <v>0.60599999999999998</v>
      </c>
      <c r="I17">
        <v>4</v>
      </c>
      <c r="J17">
        <f t="shared" si="1"/>
        <v>0.60599999999999998</v>
      </c>
      <c r="K17">
        <v>4</v>
      </c>
      <c r="L17">
        <f t="shared" si="2"/>
        <v>0.60599999999999998</v>
      </c>
    </row>
    <row r="18" spans="3:33" ht="16" x14ac:dyDescent="0.2">
      <c r="C18" s="2" t="s">
        <v>22</v>
      </c>
      <c r="D18" s="2">
        <v>5.2999999999999999E-2</v>
      </c>
      <c r="E18" s="7">
        <v>4</v>
      </c>
      <c r="F18" s="8">
        <f t="shared" si="3"/>
        <v>0.21199999999999999</v>
      </c>
      <c r="G18">
        <v>2</v>
      </c>
      <c r="H18">
        <f t="shared" si="0"/>
        <v>0.106</v>
      </c>
      <c r="I18">
        <v>2</v>
      </c>
      <c r="J18">
        <f t="shared" si="1"/>
        <v>0.106</v>
      </c>
      <c r="K18">
        <v>4</v>
      </c>
      <c r="L18">
        <f t="shared" si="2"/>
        <v>0.21199999999999999</v>
      </c>
    </row>
    <row r="19" spans="3:33" ht="17" thickBot="1" x14ac:dyDescent="0.25">
      <c r="C19" s="3" t="s">
        <v>23</v>
      </c>
      <c r="D19" s="3">
        <v>9.8500000000000004E-2</v>
      </c>
      <c r="E19" s="7">
        <v>3</v>
      </c>
      <c r="F19" s="8">
        <f t="shared" si="3"/>
        <v>0.29549999999999998</v>
      </c>
      <c r="G19">
        <v>2</v>
      </c>
      <c r="H19">
        <f t="shared" si="0"/>
        <v>0.19700000000000001</v>
      </c>
      <c r="I19">
        <v>3</v>
      </c>
      <c r="J19">
        <f t="shared" si="1"/>
        <v>0.29549999999999998</v>
      </c>
      <c r="K19">
        <v>3</v>
      </c>
      <c r="L19">
        <f t="shared" si="2"/>
        <v>0.29549999999999998</v>
      </c>
    </row>
    <row r="20" spans="3:33" ht="17" thickBot="1" x14ac:dyDescent="0.25">
      <c r="C20" s="4" t="s">
        <v>24</v>
      </c>
      <c r="D20" s="5">
        <f>SUM(D12:D19)</f>
        <v>0.71220000000000006</v>
      </c>
      <c r="E20" s="9"/>
      <c r="F20" s="11">
        <f>SUM(F12:F19)</f>
        <v>2.6366000000000001</v>
      </c>
      <c r="H20">
        <f>SUM(H12:H19)</f>
        <v>2.2502</v>
      </c>
      <c r="J20">
        <f>SUM(J12:J19)</f>
        <v>2.2652999999999999</v>
      </c>
      <c r="L20">
        <f>SUM(L12:L19)</f>
        <v>2.4850000000000003</v>
      </c>
    </row>
    <row r="22" spans="3:33" x14ac:dyDescent="0.2">
      <c r="R22" s="12" t="s">
        <v>25</v>
      </c>
      <c r="S22" s="13"/>
      <c r="T22" s="14">
        <v>2</v>
      </c>
      <c r="U22" s="14">
        <v>2</v>
      </c>
      <c r="V22" s="14">
        <v>2</v>
      </c>
      <c r="W22" s="14">
        <v>2</v>
      </c>
      <c r="X22" s="14">
        <v>2</v>
      </c>
      <c r="Y22" s="14">
        <v>1</v>
      </c>
      <c r="Z22" s="14">
        <v>1</v>
      </c>
      <c r="AA22" s="14">
        <v>2</v>
      </c>
      <c r="AB22" s="14">
        <v>2</v>
      </c>
      <c r="AC22" s="14">
        <v>2</v>
      </c>
      <c r="AD22" s="14">
        <v>2</v>
      </c>
      <c r="AE22" s="14">
        <f>SUM(S22:AD22)</f>
        <v>20</v>
      </c>
      <c r="AF22" s="15" t="e">
        <f>(AE22/AE34)</f>
        <v>#REF!</v>
      </c>
      <c r="AG22" s="16" t="e">
        <f t="shared" ref="AG22:AG33" si="4">AF22</f>
        <v>#REF!</v>
      </c>
    </row>
    <row r="23" spans="3:33" x14ac:dyDescent="0.2">
      <c r="E23" t="s">
        <v>26</v>
      </c>
      <c r="R23" s="17" t="s">
        <v>16</v>
      </c>
      <c r="S23" s="18">
        <v>0</v>
      </c>
      <c r="T23" s="13"/>
      <c r="U23" s="18">
        <v>0</v>
      </c>
      <c r="V23" s="18">
        <v>1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f>SUM(S23:AD23)</f>
        <v>1</v>
      </c>
      <c r="AF23" s="19" t="e">
        <f>(AE23/AE34)</f>
        <v>#REF!</v>
      </c>
      <c r="AG23" s="20" t="e">
        <f t="shared" si="4"/>
        <v>#REF!</v>
      </c>
    </row>
    <row r="24" spans="3:33" x14ac:dyDescent="0.2">
      <c r="E24" s="10" t="s">
        <v>27</v>
      </c>
      <c r="F24" s="6"/>
      <c r="G24" t="s">
        <v>28</v>
      </c>
      <c r="I24" t="s">
        <v>29</v>
      </c>
      <c r="K24" t="s">
        <v>30</v>
      </c>
      <c r="R24" s="12" t="s">
        <v>17</v>
      </c>
      <c r="S24" s="14">
        <v>0</v>
      </c>
      <c r="T24" s="14">
        <v>2</v>
      </c>
      <c r="U24" s="13"/>
      <c r="V24" s="14">
        <v>2</v>
      </c>
      <c r="W24" s="14">
        <v>2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1</v>
      </c>
      <c r="AD24" s="14">
        <v>2</v>
      </c>
      <c r="AE24" s="14">
        <f>SUM(S24:AD24)</f>
        <v>9</v>
      </c>
      <c r="AF24" s="15" t="e">
        <f>(AE24/AE34)</f>
        <v>#REF!</v>
      </c>
      <c r="AG24" s="16" t="e">
        <f t="shared" si="4"/>
        <v>#REF!</v>
      </c>
    </row>
    <row r="25" spans="3:33" x14ac:dyDescent="0.2">
      <c r="C25" t="s">
        <v>11</v>
      </c>
      <c r="D25" t="s">
        <v>12</v>
      </c>
      <c r="E25" s="7" t="s">
        <v>13</v>
      </c>
      <c r="F25" s="8" t="s">
        <v>14</v>
      </c>
      <c r="G25" t="s">
        <v>13</v>
      </c>
      <c r="H25" t="s">
        <v>15</v>
      </c>
      <c r="I25" t="s">
        <v>13</v>
      </c>
      <c r="J25" t="s">
        <v>14</v>
      </c>
      <c r="K25" t="s">
        <v>13</v>
      </c>
      <c r="L25" t="s">
        <v>14</v>
      </c>
      <c r="R25" s="17" t="s">
        <v>18</v>
      </c>
      <c r="S25" s="18">
        <v>0</v>
      </c>
      <c r="T25" s="18">
        <v>1</v>
      </c>
      <c r="U25" s="18">
        <v>0</v>
      </c>
      <c r="V25" s="13"/>
      <c r="W25" s="18">
        <v>1</v>
      </c>
      <c r="X25" s="18">
        <v>2</v>
      </c>
      <c r="Y25" s="18">
        <v>0</v>
      </c>
      <c r="Z25" s="18">
        <v>0</v>
      </c>
      <c r="AA25" s="18">
        <v>1</v>
      </c>
      <c r="AB25" s="18">
        <v>1</v>
      </c>
      <c r="AC25" s="18">
        <v>2</v>
      </c>
      <c r="AD25" s="18">
        <v>2</v>
      </c>
      <c r="AE25" s="18">
        <f>SUM(S25:AD25)</f>
        <v>10</v>
      </c>
      <c r="AF25" s="19" t="e">
        <f>(AE25/AE34)</f>
        <v>#REF!</v>
      </c>
      <c r="AG25" s="20" t="e">
        <f t="shared" si="4"/>
        <v>#REF!</v>
      </c>
    </row>
    <row r="26" spans="3:33" ht="16" x14ac:dyDescent="0.2">
      <c r="C26" s="2" t="s">
        <v>25</v>
      </c>
      <c r="D26" s="2">
        <v>0.1515</v>
      </c>
      <c r="E26" s="7">
        <v>4</v>
      </c>
      <c r="F26" s="8">
        <f>D26*E26</f>
        <v>0.60599999999999998</v>
      </c>
      <c r="G26">
        <v>4</v>
      </c>
      <c r="H26">
        <f>D26*G26</f>
        <v>0.60599999999999998</v>
      </c>
      <c r="I26">
        <v>4</v>
      </c>
      <c r="J26">
        <f>D26*I26</f>
        <v>0.60599999999999998</v>
      </c>
      <c r="K26">
        <v>4</v>
      </c>
      <c r="L26">
        <f>D26*K26</f>
        <v>0.60599999999999998</v>
      </c>
      <c r="R26" s="12" t="s">
        <v>31</v>
      </c>
      <c r="S26" s="14">
        <v>0</v>
      </c>
      <c r="T26" s="14">
        <v>2</v>
      </c>
      <c r="U26" s="14">
        <v>0</v>
      </c>
      <c r="V26" s="14">
        <v>1</v>
      </c>
      <c r="W26" s="13"/>
      <c r="X26" s="14">
        <v>0</v>
      </c>
      <c r="Y26" s="14">
        <v>0</v>
      </c>
      <c r="Z26" s="14">
        <v>0</v>
      </c>
      <c r="AA26" s="14">
        <v>2</v>
      </c>
      <c r="AB26" s="14">
        <v>0</v>
      </c>
      <c r="AC26" s="14">
        <v>2</v>
      </c>
      <c r="AD26" s="14">
        <v>2</v>
      </c>
      <c r="AE26" s="14">
        <f>SUM(S26:AD26)</f>
        <v>9</v>
      </c>
      <c r="AF26" s="15" t="e">
        <f>(AE26/AE34)</f>
        <v>#REF!</v>
      </c>
      <c r="AG26" s="16" t="e">
        <f t="shared" si="4"/>
        <v>#REF!</v>
      </c>
    </row>
    <row r="27" spans="3:33" ht="16" x14ac:dyDescent="0.2">
      <c r="C27" s="3" t="s">
        <v>16</v>
      </c>
      <c r="D27" s="3">
        <v>7.6E-3</v>
      </c>
      <c r="E27" s="7">
        <v>3</v>
      </c>
      <c r="F27" s="8">
        <f t="shared" ref="F27:F31" si="5">D27*E27</f>
        <v>2.2800000000000001E-2</v>
      </c>
      <c r="G27">
        <v>2</v>
      </c>
      <c r="H27">
        <f t="shared" ref="H27:H31" si="6">D27*G27</f>
        <v>1.52E-2</v>
      </c>
      <c r="I27">
        <v>1</v>
      </c>
      <c r="J27">
        <f t="shared" ref="J27:J31" si="7">D27*I27</f>
        <v>7.6E-3</v>
      </c>
      <c r="K27">
        <v>2</v>
      </c>
      <c r="L27">
        <f t="shared" ref="L27:L31" si="8">D27*K27</f>
        <v>1.52E-2</v>
      </c>
      <c r="R27" s="17" t="s">
        <v>19</v>
      </c>
      <c r="S27" s="18">
        <v>0</v>
      </c>
      <c r="T27" s="18">
        <v>2</v>
      </c>
      <c r="U27" s="18">
        <v>2</v>
      </c>
      <c r="V27" s="18">
        <v>0</v>
      </c>
      <c r="W27" s="18">
        <v>2</v>
      </c>
      <c r="X27" s="13"/>
      <c r="Y27" s="18">
        <v>0</v>
      </c>
      <c r="Z27" s="18">
        <v>0</v>
      </c>
      <c r="AA27" s="18">
        <v>2</v>
      </c>
      <c r="AB27" s="18">
        <v>2</v>
      </c>
      <c r="AC27" s="18">
        <v>2</v>
      </c>
      <c r="AD27" s="18">
        <v>2</v>
      </c>
      <c r="AE27" s="18" t="e">
        <f>SUM(#REF!)</f>
        <v>#REF!</v>
      </c>
      <c r="AF27" s="19" t="e">
        <f>(AE27/AE34)</f>
        <v>#REF!</v>
      </c>
      <c r="AG27" s="20" t="e">
        <f t="shared" si="4"/>
        <v>#REF!</v>
      </c>
    </row>
    <row r="28" spans="3:33" ht="16" x14ac:dyDescent="0.2">
      <c r="C28" s="2" t="s">
        <v>17</v>
      </c>
      <c r="D28" s="2">
        <v>6.8199999999999997E-2</v>
      </c>
      <c r="E28" s="7">
        <v>3</v>
      </c>
      <c r="F28" s="8">
        <f t="shared" si="5"/>
        <v>0.2046</v>
      </c>
      <c r="G28">
        <v>3</v>
      </c>
      <c r="H28">
        <f t="shared" si="6"/>
        <v>0.2046</v>
      </c>
      <c r="I28">
        <v>3</v>
      </c>
      <c r="J28">
        <f t="shared" si="7"/>
        <v>0.2046</v>
      </c>
      <c r="K28">
        <v>2</v>
      </c>
      <c r="L28">
        <f t="shared" si="8"/>
        <v>0.13639999999999999</v>
      </c>
      <c r="R28" s="12" t="s">
        <v>20</v>
      </c>
      <c r="S28" s="14">
        <v>1</v>
      </c>
      <c r="T28" s="14">
        <v>2</v>
      </c>
      <c r="U28" s="14">
        <v>2</v>
      </c>
      <c r="V28" s="14">
        <v>2</v>
      </c>
      <c r="W28" s="14">
        <v>2</v>
      </c>
      <c r="X28" s="14">
        <v>2</v>
      </c>
      <c r="Y28" s="13"/>
      <c r="Z28" s="14">
        <v>1</v>
      </c>
      <c r="AA28" s="14">
        <v>2</v>
      </c>
      <c r="AB28" s="14">
        <v>2</v>
      </c>
      <c r="AC28" s="14">
        <v>2</v>
      </c>
      <c r="AD28" s="14">
        <v>2</v>
      </c>
      <c r="AE28" s="14">
        <f>SUM(S28:AD28)</f>
        <v>20</v>
      </c>
      <c r="AF28" s="15" t="e">
        <f>(AE28/AE34)</f>
        <v>#REF!</v>
      </c>
      <c r="AG28" s="16" t="e">
        <f t="shared" si="4"/>
        <v>#REF!</v>
      </c>
    </row>
    <row r="29" spans="3:33" ht="16" x14ac:dyDescent="0.2">
      <c r="C29" s="3" t="s">
        <v>18</v>
      </c>
      <c r="D29" s="3">
        <v>7.5800000000000006E-2</v>
      </c>
      <c r="E29" s="7">
        <v>4</v>
      </c>
      <c r="F29" s="8">
        <f t="shared" si="5"/>
        <v>0.30320000000000003</v>
      </c>
      <c r="G29">
        <v>4</v>
      </c>
      <c r="H29">
        <f t="shared" si="6"/>
        <v>0.30320000000000003</v>
      </c>
      <c r="I29">
        <v>4</v>
      </c>
      <c r="J29">
        <f t="shared" si="7"/>
        <v>0.30320000000000003</v>
      </c>
      <c r="K29">
        <v>3</v>
      </c>
      <c r="L29">
        <f t="shared" si="8"/>
        <v>0.22740000000000002</v>
      </c>
      <c r="R29" s="17" t="s">
        <v>21</v>
      </c>
      <c r="S29" s="18">
        <v>1</v>
      </c>
      <c r="T29" s="18">
        <v>2</v>
      </c>
      <c r="U29" s="18">
        <v>2</v>
      </c>
      <c r="V29" s="18">
        <v>2</v>
      </c>
      <c r="W29" s="18">
        <v>2</v>
      </c>
      <c r="X29" s="18">
        <v>2</v>
      </c>
      <c r="Y29" s="18">
        <v>1</v>
      </c>
      <c r="Z29" s="13"/>
      <c r="AA29" s="18">
        <v>2</v>
      </c>
      <c r="AB29" s="18">
        <v>2</v>
      </c>
      <c r="AC29" s="18">
        <v>2</v>
      </c>
      <c r="AD29" s="18">
        <v>2</v>
      </c>
      <c r="AE29" s="18" t="e">
        <f>SUM(#REF!)</f>
        <v>#REF!</v>
      </c>
      <c r="AF29" s="19" t="e">
        <f>(AE29/AE34)</f>
        <v>#REF!</v>
      </c>
      <c r="AG29" s="20" t="e">
        <f t="shared" si="4"/>
        <v>#REF!</v>
      </c>
    </row>
    <row r="30" spans="3:33" ht="16" x14ac:dyDescent="0.2">
      <c r="C30" s="2" t="s">
        <v>31</v>
      </c>
      <c r="D30" s="2">
        <v>6.8199999999999997E-2</v>
      </c>
      <c r="E30" s="7">
        <v>4</v>
      </c>
      <c r="F30" s="8">
        <f t="shared" si="5"/>
        <v>0.27279999999999999</v>
      </c>
      <c r="G30">
        <v>3</v>
      </c>
      <c r="H30">
        <f t="shared" si="6"/>
        <v>0.2046</v>
      </c>
      <c r="I30">
        <v>4</v>
      </c>
      <c r="J30">
        <f t="shared" si="7"/>
        <v>0.27279999999999999</v>
      </c>
      <c r="K30">
        <v>2</v>
      </c>
      <c r="L30">
        <f t="shared" si="8"/>
        <v>0.13639999999999999</v>
      </c>
      <c r="R30" s="12" t="s">
        <v>22</v>
      </c>
      <c r="S30" s="14">
        <v>0</v>
      </c>
      <c r="T30" s="14">
        <v>2</v>
      </c>
      <c r="U30" s="14">
        <v>2</v>
      </c>
      <c r="V30" s="14">
        <v>1</v>
      </c>
      <c r="W30" s="14">
        <v>0</v>
      </c>
      <c r="X30" s="14">
        <v>0</v>
      </c>
      <c r="Y30" s="14">
        <v>0</v>
      </c>
      <c r="Z30" s="14">
        <v>0</v>
      </c>
      <c r="AA30" s="13"/>
      <c r="AB30" s="14">
        <v>0</v>
      </c>
      <c r="AC30" s="14">
        <v>1</v>
      </c>
      <c r="AD30" s="14">
        <v>1</v>
      </c>
      <c r="AE30" s="14" t="e">
        <f>SUM(#REF!)</f>
        <v>#REF!</v>
      </c>
      <c r="AF30" s="15" t="e">
        <f>(AE30/AE34)</f>
        <v>#REF!</v>
      </c>
      <c r="AG30" s="16" t="e">
        <f t="shared" si="4"/>
        <v>#REF!</v>
      </c>
    </row>
    <row r="31" spans="3:33" ht="16" x14ac:dyDescent="0.2">
      <c r="C31" s="3" t="s">
        <v>19</v>
      </c>
      <c r="D31" s="3">
        <v>0.1061</v>
      </c>
      <c r="E31" s="7">
        <v>3</v>
      </c>
      <c r="F31" s="8">
        <f t="shared" si="5"/>
        <v>0.31830000000000003</v>
      </c>
      <c r="G31">
        <v>3</v>
      </c>
      <c r="H31">
        <f t="shared" si="6"/>
        <v>0.31830000000000003</v>
      </c>
      <c r="I31">
        <v>2</v>
      </c>
      <c r="J31">
        <f t="shared" si="7"/>
        <v>0.2122</v>
      </c>
      <c r="K31">
        <v>3</v>
      </c>
      <c r="L31">
        <f t="shared" si="8"/>
        <v>0.31830000000000003</v>
      </c>
      <c r="R31" s="17" t="s">
        <v>23</v>
      </c>
      <c r="S31" s="18">
        <v>0</v>
      </c>
      <c r="T31" s="18">
        <v>2</v>
      </c>
      <c r="U31" s="18">
        <v>2</v>
      </c>
      <c r="V31" s="18">
        <v>1</v>
      </c>
      <c r="W31" s="18">
        <v>2</v>
      </c>
      <c r="X31" s="18">
        <v>0</v>
      </c>
      <c r="Y31" s="18">
        <v>0</v>
      </c>
      <c r="Z31" s="18">
        <v>0</v>
      </c>
      <c r="AA31" s="18">
        <v>2</v>
      </c>
      <c r="AB31" s="13"/>
      <c r="AC31" s="18">
        <v>2</v>
      </c>
      <c r="AD31" s="18">
        <v>2</v>
      </c>
      <c r="AE31" s="18">
        <f>SUM(S31:AD31)</f>
        <v>13</v>
      </c>
      <c r="AF31" s="19" t="e">
        <f>(AE31/AE34)</f>
        <v>#REF!</v>
      </c>
      <c r="AG31" s="20" t="e">
        <f t="shared" si="4"/>
        <v>#REF!</v>
      </c>
    </row>
    <row r="32" spans="3:33" ht="16" x14ac:dyDescent="0.2">
      <c r="C32" s="4" t="s">
        <v>24</v>
      </c>
      <c r="D32" s="5">
        <f>SUM(D26:D31)</f>
        <v>0.47740000000000005</v>
      </c>
      <c r="E32" s="9"/>
      <c r="F32" s="11">
        <f>SUM(F26:F31)</f>
        <v>1.7277</v>
      </c>
      <c r="H32">
        <f>SUM(H26:H31)</f>
        <v>1.6519000000000001</v>
      </c>
      <c r="J32">
        <f>SUM(J26:J31)</f>
        <v>1.6063999999999998</v>
      </c>
      <c r="L32">
        <f>SUM(L26:L31)</f>
        <v>1.4397</v>
      </c>
      <c r="R32" s="12" t="s">
        <v>32</v>
      </c>
      <c r="S32" s="14">
        <v>0</v>
      </c>
      <c r="T32" s="14">
        <v>2</v>
      </c>
      <c r="U32" s="14">
        <v>1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1</v>
      </c>
      <c r="AB32" s="14">
        <v>0</v>
      </c>
      <c r="AC32" s="13"/>
      <c r="AD32" s="14">
        <v>1</v>
      </c>
      <c r="AE32" s="14">
        <f>SUM(S32:AD32)</f>
        <v>5</v>
      </c>
      <c r="AF32" s="15" t="e">
        <f>(AE32/AE34)</f>
        <v>#REF!</v>
      </c>
      <c r="AG32" s="16" t="e">
        <f t="shared" si="4"/>
        <v>#REF!</v>
      </c>
    </row>
    <row r="33" spans="3:33" x14ac:dyDescent="0.2">
      <c r="R33" s="17" t="s">
        <v>33</v>
      </c>
      <c r="S33" s="18">
        <v>0</v>
      </c>
      <c r="T33" s="18">
        <v>2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1</v>
      </c>
      <c r="AB33" s="18">
        <v>0</v>
      </c>
      <c r="AC33" s="18">
        <v>1</v>
      </c>
      <c r="AD33" s="13"/>
      <c r="AE33" s="18">
        <f>SUM(S33:AD33)</f>
        <v>4</v>
      </c>
      <c r="AF33" s="19" t="e">
        <f>(AE33/AE34)</f>
        <v>#REF!</v>
      </c>
      <c r="AG33" s="20" t="e">
        <f t="shared" si="4"/>
        <v>#REF!</v>
      </c>
    </row>
    <row r="34" spans="3:33" x14ac:dyDescent="0.2">
      <c r="R34" s="21" t="s">
        <v>24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22" t="e">
        <f>SUM(AE22:AE33)</f>
        <v>#REF!</v>
      </c>
      <c r="AF34" s="23" t="e">
        <f>SUM(AF22:AF33)</f>
        <v>#REF!</v>
      </c>
      <c r="AG34" s="24" t="e">
        <f>SUM(AG22:AG33)</f>
        <v>#REF!</v>
      </c>
    </row>
    <row r="36" spans="3:33" x14ac:dyDescent="0.2">
      <c r="E36" t="s">
        <v>34</v>
      </c>
    </row>
    <row r="37" spans="3:33" x14ac:dyDescent="0.2">
      <c r="E37" s="10" t="s">
        <v>35</v>
      </c>
      <c r="F37" s="6"/>
      <c r="G37" t="s">
        <v>36</v>
      </c>
      <c r="I37" t="s">
        <v>37</v>
      </c>
      <c r="K37" t="s">
        <v>38</v>
      </c>
    </row>
    <row r="38" spans="3:33" x14ac:dyDescent="0.2">
      <c r="C38" t="s">
        <v>11</v>
      </c>
      <c r="D38" t="s">
        <v>12</v>
      </c>
      <c r="E38" s="7" t="s">
        <v>13</v>
      </c>
      <c r="F38" s="8" t="s">
        <v>14</v>
      </c>
      <c r="G38" t="s">
        <v>13</v>
      </c>
      <c r="H38" t="s">
        <v>15</v>
      </c>
      <c r="I38" t="s">
        <v>13</v>
      </c>
      <c r="J38" t="s">
        <v>14</v>
      </c>
      <c r="K38" t="s">
        <v>13</v>
      </c>
      <c r="L38" t="s">
        <v>14</v>
      </c>
    </row>
    <row r="39" spans="3:33" ht="16" x14ac:dyDescent="0.2">
      <c r="C39" s="2" t="s">
        <v>39</v>
      </c>
      <c r="D39" s="2">
        <v>0.1515</v>
      </c>
      <c r="E39" s="7">
        <v>4</v>
      </c>
      <c r="F39" s="8">
        <f>D39*E39</f>
        <v>0.60599999999999998</v>
      </c>
      <c r="G39">
        <v>4</v>
      </c>
      <c r="H39">
        <f>D39*G39</f>
        <v>0.60599999999999998</v>
      </c>
      <c r="I39">
        <v>4</v>
      </c>
      <c r="J39">
        <f>D39*I39</f>
        <v>0.60599999999999998</v>
      </c>
      <c r="K39">
        <v>4</v>
      </c>
      <c r="L39">
        <f>D39*K39</f>
        <v>0.60599999999999998</v>
      </c>
    </row>
    <row r="40" spans="3:33" ht="16" x14ac:dyDescent="0.2">
      <c r="C40" s="3" t="s">
        <v>40</v>
      </c>
      <c r="D40" s="3">
        <v>3.7900000000000003E-2</v>
      </c>
      <c r="E40" s="7">
        <v>3</v>
      </c>
      <c r="F40" s="8">
        <f t="shared" ref="F40:F43" si="9">D40*E40</f>
        <v>0.11370000000000001</v>
      </c>
      <c r="G40">
        <v>2</v>
      </c>
      <c r="H40">
        <f t="shared" ref="H40:H43" si="10">D40*G40</f>
        <v>7.5800000000000006E-2</v>
      </c>
      <c r="I40">
        <v>1</v>
      </c>
      <c r="J40">
        <f t="shared" ref="J40:J43" si="11">D40*I40</f>
        <v>3.7900000000000003E-2</v>
      </c>
      <c r="K40">
        <v>2</v>
      </c>
      <c r="L40">
        <f t="shared" ref="L40:L43" si="12">D40*K40</f>
        <v>7.5800000000000006E-2</v>
      </c>
    </row>
    <row r="41" spans="3:33" ht="16" x14ac:dyDescent="0.2">
      <c r="C41" s="2" t="s">
        <v>41</v>
      </c>
      <c r="D41" s="2">
        <v>3.0300000000000001E-2</v>
      </c>
      <c r="E41" s="7">
        <v>3</v>
      </c>
      <c r="F41" s="8">
        <f t="shared" si="9"/>
        <v>9.0900000000000009E-2</v>
      </c>
      <c r="G41">
        <v>3</v>
      </c>
      <c r="H41">
        <f t="shared" si="10"/>
        <v>9.0900000000000009E-2</v>
      </c>
      <c r="I41">
        <v>3</v>
      </c>
      <c r="J41">
        <f t="shared" si="11"/>
        <v>9.0900000000000009E-2</v>
      </c>
      <c r="K41">
        <v>2</v>
      </c>
      <c r="L41">
        <f t="shared" si="12"/>
        <v>6.0600000000000001E-2</v>
      </c>
    </row>
    <row r="42" spans="3:33" ht="16" x14ac:dyDescent="0.2">
      <c r="C42" s="3" t="s">
        <v>42</v>
      </c>
      <c r="D42" s="3">
        <v>9.8500000000000004E-2</v>
      </c>
      <c r="E42" s="7">
        <v>4</v>
      </c>
      <c r="F42" s="8">
        <f t="shared" si="9"/>
        <v>0.39400000000000002</v>
      </c>
      <c r="G42">
        <v>4</v>
      </c>
      <c r="H42">
        <f t="shared" si="10"/>
        <v>0.39400000000000002</v>
      </c>
      <c r="I42">
        <v>4</v>
      </c>
      <c r="J42">
        <f t="shared" si="11"/>
        <v>0.39400000000000002</v>
      </c>
      <c r="K42">
        <v>3</v>
      </c>
      <c r="L42">
        <f t="shared" si="12"/>
        <v>0.29549999999999998</v>
      </c>
    </row>
    <row r="43" spans="3:33" ht="16" x14ac:dyDescent="0.2">
      <c r="C43" s="2" t="s">
        <v>43</v>
      </c>
      <c r="D43" s="2">
        <v>5.2999999999999999E-2</v>
      </c>
      <c r="E43" s="7">
        <v>4</v>
      </c>
      <c r="F43" s="8">
        <f t="shared" si="9"/>
        <v>0.21199999999999999</v>
      </c>
      <c r="G43">
        <v>3</v>
      </c>
      <c r="H43">
        <f t="shared" si="10"/>
        <v>0.159</v>
      </c>
      <c r="I43">
        <v>4</v>
      </c>
      <c r="J43">
        <f t="shared" si="11"/>
        <v>0.21199999999999999</v>
      </c>
      <c r="K43">
        <v>2</v>
      </c>
      <c r="L43">
        <f t="shared" si="12"/>
        <v>0.106</v>
      </c>
    </row>
    <row r="44" spans="3:33" ht="16" x14ac:dyDescent="0.2">
      <c r="C44" s="4" t="s">
        <v>24</v>
      </c>
      <c r="D44" s="5">
        <f>SUM(D39:D43)</f>
        <v>0.37120000000000003</v>
      </c>
      <c r="E44" s="9"/>
      <c r="F44" s="11">
        <f>SUM(F39:F43)</f>
        <v>1.4166000000000001</v>
      </c>
      <c r="H44">
        <f>SUM(H39:H43)</f>
        <v>1.3257000000000001</v>
      </c>
      <c r="J44">
        <f>SUM(J39:J43)</f>
        <v>1.3408</v>
      </c>
      <c r="L44">
        <f>SUM(L39:L43)</f>
        <v>1.1439000000000001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Till-Philipp Patron</dc:creator>
  <cp:keywords/>
  <dc:description/>
  <cp:lastModifiedBy>Patrick Drechsel</cp:lastModifiedBy>
  <cp:revision/>
  <dcterms:created xsi:type="dcterms:W3CDTF">2025-04-02T15:22:08Z</dcterms:created>
  <dcterms:modified xsi:type="dcterms:W3CDTF">2025-04-10T10:38:48Z</dcterms:modified>
  <cp:category/>
  <cp:contentStatus/>
</cp:coreProperties>
</file>